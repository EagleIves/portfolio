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mbacorp-my.sharepoint.com/personal/ikaranja_simbacolt_com/Documents/00 PERSONAL/PORTFOLIO/"/>
    </mc:Choice>
  </mc:AlternateContent>
  <xr:revisionPtr revIDLastSave="0" documentId="8_{A06E5B59-D88B-415E-94EA-8F0063098C87}" xr6:coauthVersionLast="47" xr6:coauthVersionMax="47" xr10:uidLastSave="{00000000-0000-0000-0000-000000000000}"/>
  <bookViews>
    <workbookView xWindow="-120" yWindow="-120" windowWidth="20730" windowHeight="11040" xr2:uid="{C1C37559-CA15-4BF4-9386-1BE681A2CF49}"/>
  </bookViews>
  <sheets>
    <sheet name="INTERFACE" sheetId="6" r:id="rId1"/>
    <sheet name="To Do" sheetId="4" r:id="rId2"/>
    <sheet name="Completed" sheetId="8" r:id="rId3"/>
    <sheet name="Lists" sheetId="5" r:id="rId4"/>
    <sheet name="Sheet3" sheetId="3" state="hidden" r:id="rId5"/>
  </sheets>
  <externalReferences>
    <externalReference r:id="rId6"/>
  </externalReferences>
  <definedNames>
    <definedName name="_xlnm._FilterDatabase" localSheetId="3" hidden="1">[1]Sheet1!$A$1:$C$43</definedName>
    <definedName name="_xlnm._FilterDatabase" localSheetId="1" hidden="1">'To Do'!$A$1:$F$30</definedName>
    <definedName name="Deadlines">OFFSET('To Do'!$D$2,,,COUNTA('To Do'!$D$2:$D$30))</definedName>
    <definedName name="PROJECT">Table2[PROJECT]</definedName>
    <definedName name="Responsible_Person">Table1[Responsible Person]</definedName>
    <definedName name="STATUS">Table3[STATUS]</definedName>
    <definedName name="WorkStatus">"OFFSET('To Do'!$F$2,,,COUNTA('To Do'!$F$2:$F$30))"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6" l="1"/>
  <c r="V8" i="6"/>
  <c r="S5" i="6"/>
  <c r="S10" i="6"/>
  <c r="D8" i="4"/>
  <c r="D3" i="4"/>
  <c r="P8" i="6"/>
  <c r="Q8" i="6"/>
  <c r="O8" i="6"/>
  <c r="V7" i="6" l="1" a="1"/>
  <c r="V7" i="6" s="1"/>
  <c r="K8" i="6" a="1"/>
  <c r="K8" i="6" s="1"/>
  <c r="V6" i="6" a="1"/>
  <c r="V6" i="6" s="1"/>
  <c r="U6" i="6" a="1"/>
  <c r="U6" i="6" s="1"/>
  <c r="T6" i="6" a="1"/>
  <c r="T6" i="6" s="1"/>
  <c r="S6" i="6" a="1"/>
  <c r="S6" i="6" s="1"/>
  <c r="S7" i="6" a="1"/>
  <c r="S7" i="6" s="1"/>
  <c r="S8" i="6" a="1"/>
  <c r="S8" i="6" s="1"/>
  <c r="G8" i="6" a="1"/>
  <c r="G8" i="6" s="1"/>
  <c r="J8" i="6" a="1"/>
  <c r="J8" i="6" s="1"/>
  <c r="I8" i="6" a="1"/>
  <c r="I8" i="6" s="1"/>
  <c r="H8" i="6" a="1"/>
  <c r="H8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<sst xmlns="http://schemas.openxmlformats.org/spreadsheetml/2006/main" count="212" uniqueCount="91">
  <si>
    <t>No.</t>
  </si>
  <si>
    <t>Item</t>
  </si>
  <si>
    <t>Update</t>
  </si>
  <si>
    <t>Timelines</t>
  </si>
  <si>
    <t>Salespeople Perfomance</t>
  </si>
  <si>
    <t>Webshop</t>
  </si>
  <si>
    <t>Data Clean_Up</t>
  </si>
  <si>
    <t>Started with Companies</t>
  </si>
  <si>
    <t>Commercial Reports</t>
  </si>
  <si>
    <t>Opportunity Report/Reminder</t>
  </si>
  <si>
    <t>Parts Ordering</t>
  </si>
  <si>
    <t>DataposIT (Awaiting report)</t>
  </si>
  <si>
    <t>PSD Reports</t>
  </si>
  <si>
    <t>WIP</t>
  </si>
  <si>
    <t xml:space="preserve">Power BI Licenses </t>
  </si>
  <si>
    <t>Dealer Portal</t>
  </si>
  <si>
    <t>Branch on Page</t>
  </si>
  <si>
    <t>Business on a Page</t>
  </si>
  <si>
    <t>Legal Report</t>
  </si>
  <si>
    <t>Procurement &amp; Facilities Reports</t>
  </si>
  <si>
    <t>Create report - initial meeting</t>
  </si>
  <si>
    <t>Supply Chain Reports</t>
  </si>
  <si>
    <t>Leasing Reports</t>
  </si>
  <si>
    <t>Data Strategy Guide</t>
  </si>
  <si>
    <t>Finance Reports</t>
  </si>
  <si>
    <t xml:space="preserve">Process re-engineering - Sales Journey </t>
  </si>
  <si>
    <t>From quote to Invoice - To get conversion</t>
  </si>
  <si>
    <t xml:space="preserve">Technician Clocking </t>
  </si>
  <si>
    <t>Booking a car for service</t>
  </si>
  <si>
    <t xml:space="preserve">Lost Sales </t>
  </si>
  <si>
    <t>WIP - Reason for WIP</t>
  </si>
  <si>
    <t>Service Contracts Marking in the system</t>
  </si>
  <si>
    <r>
      <t xml:space="preserve">Inclusion of a </t>
    </r>
    <r>
      <rPr>
        <b/>
        <sz val="11"/>
        <color theme="1"/>
        <rFont val="Aptos Narrow"/>
        <family val="2"/>
        <scheme val="minor"/>
      </rPr>
      <t>Relationship Person</t>
    </r>
    <r>
      <rPr>
        <sz val="11"/>
        <color theme="1"/>
        <rFont val="Aptos Narrow"/>
        <family val="2"/>
        <scheme val="minor"/>
      </rPr>
      <t xml:space="preserve"> field at Contact creation to supplement the Salesperson Code field</t>
    </r>
  </si>
  <si>
    <t>The original Salesperson code should remain open for editing for credit allocation.</t>
  </si>
  <si>
    <t>Mandatory input of Industry Group and Relationship Person at the point of Contact Creation</t>
  </si>
  <si>
    <t>These fields should also be locked from editing</t>
  </si>
  <si>
    <t>Aftersales Report</t>
  </si>
  <si>
    <t>Update product-specific budget numbers</t>
  </si>
  <si>
    <t>Review Code for ELVA Report</t>
  </si>
  <si>
    <t>Pro Licences for all departments</t>
  </si>
  <si>
    <t>Leads and Opprtunities Report</t>
  </si>
  <si>
    <t>Present to Marketing and CX</t>
  </si>
  <si>
    <t>Review with Aftersales</t>
  </si>
  <si>
    <t>Resend Template to HODs</t>
  </si>
  <si>
    <t>Ongoing - weekly review</t>
  </si>
  <si>
    <t>Drafting</t>
  </si>
  <si>
    <t>Push Conversation on religious clock-in practices</t>
  </si>
  <si>
    <t>Test Functionality</t>
  </si>
  <si>
    <t>Reviewing process</t>
  </si>
  <si>
    <t>Test user metrics</t>
  </si>
  <si>
    <t>Engage IT and Elva team</t>
  </si>
  <si>
    <t>FUSO</t>
  </si>
  <si>
    <t>Aftersales KPIs followup</t>
  </si>
  <si>
    <t>ModelCode4</t>
  </si>
  <si>
    <t>Pillar</t>
  </si>
  <si>
    <t>Segment</t>
  </si>
  <si>
    <t>Brand Ref</t>
  </si>
  <si>
    <t>Model Ref agr</t>
  </si>
  <si>
    <t>DISC PLOUGH</t>
  </si>
  <si>
    <t>AGRI</t>
  </si>
  <si>
    <t>MAHINDRA IMPLEMENTS</t>
  </si>
  <si>
    <t>6075 ECO 4WD</t>
  </si>
  <si>
    <t>MAHINDRA TRACTORS</t>
  </si>
  <si>
    <t>FUSO - FJY1 FJ2528R</t>
  </si>
  <si>
    <t>MOTOR</t>
  </si>
  <si>
    <t>OUTLANDER-J38</t>
  </si>
  <si>
    <t>MITSUBISHI</t>
  </si>
  <si>
    <t>Responsibility</t>
  </si>
  <si>
    <t>Ivy</t>
  </si>
  <si>
    <t>Responsible Person</t>
  </si>
  <si>
    <t>PROJECT</t>
  </si>
  <si>
    <t>data</t>
  </si>
  <si>
    <t>Status</t>
  </si>
  <si>
    <t>STATUS</t>
  </si>
  <si>
    <t>Completed</t>
  </si>
  <si>
    <t>In Progress</t>
  </si>
  <si>
    <t>Not Started</t>
  </si>
  <si>
    <t>Refresher training to Salespeople</t>
  </si>
  <si>
    <t>Due</t>
  </si>
  <si>
    <t>Today</t>
  </si>
  <si>
    <t>Tomorrow</t>
  </si>
  <si>
    <t>This week</t>
  </si>
  <si>
    <t xml:space="preserve">Next Week </t>
  </si>
  <si>
    <t>This Month</t>
  </si>
  <si>
    <t xml:space="preserve"> </t>
  </si>
  <si>
    <t>Reconciliation</t>
  </si>
  <si>
    <t>Report Discrepancies</t>
  </si>
  <si>
    <t>iPay</t>
  </si>
  <si>
    <t>WORK ORGANIZER</t>
  </si>
  <si>
    <t>Sheri</t>
  </si>
  <si>
    <t>Lemon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</si>
</sst>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]d\ mmm\ yyyy;@" x16r2:formatCode16="[$-en-KE,1]d\ mmm\ yyyy;@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1"/>
      <color theme="9" tint="-0.249977111117893"/>
      <name val="ADLaM Display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Segoe UI Emoji"/>
      <family val="2"/>
    </font>
    <font>
      <i/>
      <sz val="42"/>
      <color theme="1"/>
      <name val="Segoe UI Black"/>
      <family val="2"/>
    </font>
    <font>
      <i/>
      <sz val="36"/>
      <color theme="1"/>
      <name val="Segoe UI Black"/>
      <family val="2"/>
    </font>
    <font>
      <sz val="11"/>
      <color theme="5" tint="0.59999389629810485"/>
      <name val="Aptos Narrow"/>
      <family val="2"/>
      <scheme val="minor"/>
    </font>
    <font>
      <b/>
      <sz val="12"/>
      <name val="Segoe UI Emoji"/>
      <family val="2"/>
    </font>
    <font>
      <b/>
      <sz val="11"/>
      <name val="Aptos Narrow"/>
      <family val="2"/>
      <scheme val="minor"/>
    </font>
    <font>
      <sz val="11"/>
      <color theme="6" tint="0.79998168889431442"/>
      <name val="Aptos Narrow"/>
      <family val="2"/>
      <scheme val="minor"/>
    </font>
    <font>
      <b/>
      <sz val="11"/>
      <color theme="6" tint="0.7999816888943144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5117038483843"/>
        <bgColor indexed="64"/>
      </patternFill>
    </fill>
    <fill>
      <patternFill patternType="solid">
        <fgColor rgb="FF30A6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4" borderId="0"/>
  </cellStyleXfs>
  <cellXfs count="35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5" fontId="0" fillId="0" borderId="0" xfId="0" applyNumberFormat="1"/>
    <xf numFmtId="0" fontId="0" fillId="0" borderId="0" xfId="0" applyAlignment="1">
      <alignment vertical="top"/>
    </xf>
    <xf numFmtId="1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3" fillId="0" borderId="0" xfId="0" applyFont="1"/>
    <xf numFmtId="0" fontId="5" fillId="3" borderId="4" xfId="0" applyFont="1" applyFill="1" applyBorder="1"/>
    <xf numFmtId="164" fontId="5" fillId="3" borderId="4" xfId="0" applyNumberFormat="1" applyFont="1" applyFill="1" applyBorder="1"/>
    <xf numFmtId="0" fontId="6" fillId="0" borderId="0" xfId="0" applyFont="1"/>
    <xf numFmtId="2" fontId="1" fillId="0" borderId="0" xfId="0" applyNumberFormat="1" applyFont="1"/>
    <xf numFmtId="2" fontId="0" fillId="0" borderId="0" xfId="0" applyNumberFormat="1"/>
    <xf numFmtId="0" fontId="0" fillId="5" borderId="0" xfId="0" applyFill="1"/>
    <xf numFmtId="164" fontId="0" fillId="5" borderId="0" xfId="0" applyNumberFormat="1" applyFill="1"/>
    <xf numFmtId="0" fontId="9" fillId="5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10" fillId="5" borderId="0" xfId="0" applyFont="1" applyFill="1"/>
    <xf numFmtId="0" fontId="8" fillId="5" borderId="0" xfId="0" applyFont="1" applyFill="1" applyAlignment="1">
      <alignment horizontal="center" vertical="center"/>
    </xf>
    <xf numFmtId="0" fontId="7" fillId="5" borderId="2" xfId="0" applyFont="1" applyFill="1" applyBorder="1"/>
    <xf numFmtId="0" fontId="7" fillId="5" borderId="3" xfId="0" applyFont="1" applyFill="1" applyBorder="1"/>
    <xf numFmtId="1" fontId="7" fillId="5" borderId="1" xfId="0" applyNumberFormat="1" applyFont="1" applyFill="1" applyBorder="1"/>
    <xf numFmtId="14" fontId="0" fillId="5" borderId="0" xfId="0" applyNumberFormat="1" applyFill="1"/>
    <xf numFmtId="15" fontId="0" fillId="5" borderId="0" xfId="0" applyNumberFormat="1" applyFill="1"/>
    <xf numFmtId="0" fontId="11" fillId="5" borderId="0" xfId="0" applyFont="1" applyFill="1"/>
    <xf numFmtId="164" fontId="11" fillId="5" borderId="0" xfId="0" applyNumberFormat="1" applyFont="1" applyFill="1"/>
    <xf numFmtId="0" fontId="12" fillId="5" borderId="0" xfId="0" applyFont="1" applyFill="1"/>
    <xf numFmtId="0" fontId="13" fillId="5" borderId="0" xfId="0" applyFont="1" applyFill="1"/>
    <xf numFmtId="2" fontId="13" fillId="5" borderId="0" xfId="0" applyNumberFormat="1" applyFont="1" applyFill="1"/>
    <xf numFmtId="0" fontId="14" fillId="5" borderId="0" xfId="0" applyFont="1" applyFill="1"/>
    <xf numFmtId="14" fontId="13" fillId="5" borderId="0" xfId="0" applyNumberFormat="1" applyFont="1" applyFill="1"/>
  </cellXfs>
  <cellStyles count="2">
    <cellStyle name="Normal" xfId="0" builtinId="0"/>
    <cellStyle name="Style 1" xfId="1" xr:uid="{9FEA2D2B-27E1-42B3-B106-049C9DDF2ECC}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/>
        <strike val="0"/>
        <outline val="0"/>
        <shadow val="0"/>
        <u val="none"/>
        <vertAlign val="baseline"/>
        <sz val="12"/>
        <color auto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sz val="12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2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numFmt numFmtId="1" formatCode="0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 Emoji"/>
        <family val="2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\-mmm\-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>
          <bgColor theme="0"/>
        </patternFill>
      </fill>
    </dxf>
    <dxf>
      <fill>
        <patternFill>
          <bgColor rgb="FFFFABAB"/>
        </patternFill>
      </fill>
    </dxf>
    <dxf>
      <fill>
        <patternFill>
          <bgColor rgb="FFFFC000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CCFF"/>
      <color rgb="FFFF99FF"/>
      <color rgb="FF89F084"/>
      <color rgb="FF30A6D0"/>
      <color rgb="FF9B29A7"/>
      <color rgb="FF2C8430"/>
      <color rgb="FF2596DB"/>
      <color rgb="FF961C04"/>
      <color rgb="FF3E1218"/>
      <color rgb="FF5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</a:rPr>
              <a:t>Due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INTERFACE!$F$8</c:f>
              <c:strCache>
                <c:ptCount val="1"/>
                <c:pt idx="0">
                  <c:v>Due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91-4119-94AF-E53EA1F805C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E791-4119-94AF-E53EA1F805C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91-4119-94AF-E53EA1F805C5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E791-4119-94AF-E53EA1F805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91-4119-94AF-E53EA1F805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K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INTERFACE!$G$7:$K$7</c:f>
              <c:strCache>
                <c:ptCount val="5"/>
                <c:pt idx="0">
                  <c:v>Today</c:v>
                </c:pt>
                <c:pt idx="1">
                  <c:v>Tomorrow</c:v>
                </c:pt>
                <c:pt idx="2">
                  <c:v>This week</c:v>
                </c:pt>
                <c:pt idx="3">
                  <c:v>Next Week </c:v>
                </c:pt>
                <c:pt idx="4">
                  <c:v>This Month</c:v>
                </c:pt>
              </c:strCache>
            </c:strRef>
          </c:cat>
          <c:val>
            <c:numRef>
              <c:f>INTERFACE!$G$8:$K$8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 formatCode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119-94AF-E53EA1F805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02121520"/>
        <c:axId val="702146480"/>
      </c:barChart>
      <c:catAx>
        <c:axId val="702121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alpha val="5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702146480"/>
        <c:crosses val="autoZero"/>
        <c:auto val="1"/>
        <c:lblAlgn val="ctr"/>
        <c:lblOffset val="100"/>
        <c:noMultiLvlLbl val="0"/>
      </c:catAx>
      <c:valAx>
        <c:axId val="70214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KE"/>
          </a:p>
        </c:txPr>
        <c:crossAx val="7021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Status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>
          <a:outerShdw blurRad="50800" dist="50800" dir="5400000" sx="12000" sy="12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583333333333334E-2"/>
          <c:y val="0.2412470836978711"/>
          <c:w val="0.81388888888888888"/>
          <c:h val="0.55500546806649165"/>
        </c:manualLayout>
      </c:layout>
      <c:pie3DChart>
        <c:varyColors val="1"/>
        <c:ser>
          <c:idx val="0"/>
          <c:order val="0"/>
          <c:tx>
            <c:strRef>
              <c:f>INTERFACE!$N$8</c:f>
              <c:strCache>
                <c:ptCount val="1"/>
                <c:pt idx="0">
                  <c:v>Status</c:v>
                </c:pt>
              </c:strCache>
            </c:strRef>
          </c:tx>
          <c:dPt>
            <c:idx val="0"/>
            <c:bubble3D val="0"/>
            <c:explosion val="4"/>
            <c:spPr>
              <a:solidFill>
                <a:srgbClr val="2C843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1D3-4F90-AFE0-60A41A1397F0}"/>
              </c:ext>
            </c:extLst>
          </c:dPt>
          <c:dPt>
            <c:idx val="1"/>
            <c:bubble3D val="0"/>
            <c:explosion val="11"/>
            <c:spPr>
              <a:solidFill>
                <a:srgbClr val="2596DB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 w="50800" h="101600"/>
                <a:bevelB w="3175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61D3-4F90-AFE0-60A41A1397F0}"/>
              </c:ext>
            </c:extLst>
          </c:dPt>
          <c:dPt>
            <c:idx val="2"/>
            <c:bubble3D val="0"/>
            <c:explosion val="2"/>
            <c:spPr>
              <a:solidFill>
                <a:srgbClr val="9B29A7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1D3-4F90-AFE0-60A41A1397F0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K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INTERFACE!$O$7:$Q$7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Not Started</c:v>
                </c:pt>
              </c:strCache>
            </c:strRef>
          </c:cat>
          <c:val>
            <c:numRef>
              <c:f>INTERFACE!$O$8:$Q$8</c:f>
              <c:numCache>
                <c:formatCode>General</c:formatCode>
                <c:ptCount val="3"/>
                <c:pt idx="0">
                  <c:v>3</c:v>
                </c:pt>
                <c:pt idx="1">
                  <c:v>11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3-4F90-AFE0-60A41A139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KE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K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mpleted!A1"/><Relationship Id="rId2" Type="http://schemas.openxmlformats.org/officeDocument/2006/relationships/hyperlink" Target="#'To do'!A1"/><Relationship Id="rId1" Type="http://schemas.openxmlformats.org/officeDocument/2006/relationships/hyperlink" Target="#Lists!A1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98425</xdr:colOff>
      <xdr:row>1</xdr:row>
      <xdr:rowOff>134938</xdr:rowOff>
    </xdr:from>
    <xdr:to>
      <xdr:col>16</xdr:col>
      <xdr:colOff>7938</xdr:colOff>
      <xdr:row>3</xdr:row>
      <xdr:rowOff>128588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77C6A6-3704-F735-8DB5-A15F30D63138}"/>
            </a:ext>
          </a:extLst>
        </xdr:cNvPr>
        <xdr:cNvSpPr/>
      </xdr:nvSpPr>
      <xdr:spPr>
        <a:xfrm>
          <a:off x="8281988" y="889001"/>
          <a:ext cx="2147888" cy="390525"/>
        </a:xfrm>
        <a:prstGeom prst="rect">
          <a:avLst/>
        </a:prstGeom>
        <a:solidFill>
          <a:schemeClr val="accent3">
            <a:lumMod val="75000"/>
          </a:schemeClr>
        </a:solidFill>
        <a:ln w="762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Segoe UI" panose="020B0502040204020203" pitchFamily="34" charset="0"/>
              <a:cs typeface="Segoe UI" panose="020B0502040204020203" pitchFamily="34" charset="0"/>
            </a:rPr>
            <a:t>LISTS</a:t>
          </a:r>
          <a:endParaRPr lang="en-US" sz="9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KE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90488</xdr:colOff>
      <xdr:row>1</xdr:row>
      <xdr:rowOff>119063</xdr:rowOff>
    </xdr:from>
    <xdr:to>
      <xdr:col>10</xdr:col>
      <xdr:colOff>923925</xdr:colOff>
      <xdr:row>3</xdr:row>
      <xdr:rowOff>142875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B718D-BC92-4ADA-B195-1C8D44687BBE}"/>
            </a:ext>
          </a:extLst>
        </xdr:cNvPr>
        <xdr:cNvSpPr/>
      </xdr:nvSpPr>
      <xdr:spPr>
        <a:xfrm>
          <a:off x="4313238" y="873126"/>
          <a:ext cx="1762125" cy="420687"/>
        </a:xfrm>
        <a:prstGeom prst="rect">
          <a:avLst/>
        </a:prstGeom>
        <a:solidFill>
          <a:schemeClr val="accent3">
            <a:lumMod val="75000"/>
          </a:schemeClr>
        </a:solidFill>
        <a:ln w="5715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Segoe UI" panose="020B0502040204020203" pitchFamily="34" charset="0"/>
              <a:ea typeface="Nirmala Text" panose="020B0502040204020203" pitchFamily="34" charset="0"/>
              <a:cs typeface="Segoe UI" panose="020B0502040204020203" pitchFamily="34" charset="0"/>
            </a:rPr>
            <a:t>TO</a:t>
          </a:r>
          <a:r>
            <a:rPr lang="en-US" sz="1400" b="1" baseline="0">
              <a:latin typeface="Segoe UI" panose="020B0502040204020203" pitchFamily="34" charset="0"/>
              <a:ea typeface="Nirmala Text" panose="020B0502040204020203" pitchFamily="34" charset="0"/>
              <a:cs typeface="Segoe UI" panose="020B0502040204020203" pitchFamily="34" charset="0"/>
            </a:rPr>
            <a:t> DOOO</a:t>
          </a:r>
          <a:endParaRPr lang="en-US" sz="900" b="1">
            <a:latin typeface="Segoe UI" panose="020B0502040204020203" pitchFamily="34" charset="0"/>
            <a:ea typeface="Nirmala Text" panose="020B0502040204020203" pitchFamily="34" charset="0"/>
            <a:cs typeface="Segoe UI" panose="020B0502040204020203" pitchFamily="34" charset="0"/>
          </a:endParaRPr>
        </a:p>
        <a:p>
          <a:pPr algn="l"/>
          <a:endParaRPr lang="en-KE" sz="900" b="1">
            <a:latin typeface="Segoe UI" panose="020B0502040204020203" pitchFamily="34" charset="0"/>
            <a:ea typeface="Nirmala Text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974725</xdr:colOff>
      <xdr:row>1</xdr:row>
      <xdr:rowOff>133351</xdr:rowOff>
    </xdr:from>
    <xdr:to>
      <xdr:col>14</xdr:col>
      <xdr:colOff>31750</xdr:colOff>
      <xdr:row>3</xdr:row>
      <xdr:rowOff>127001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BC8336-9EC4-441E-B1E1-50B77A6F7537}"/>
            </a:ext>
          </a:extLst>
        </xdr:cNvPr>
        <xdr:cNvSpPr/>
      </xdr:nvSpPr>
      <xdr:spPr>
        <a:xfrm>
          <a:off x="5808663" y="887414"/>
          <a:ext cx="2390775" cy="390525"/>
        </a:xfrm>
        <a:prstGeom prst="rect">
          <a:avLst/>
        </a:prstGeom>
        <a:solidFill>
          <a:schemeClr val="accent3">
            <a:lumMod val="75000"/>
          </a:schemeClr>
        </a:solidFill>
        <a:ln w="76200">
          <a:solidFill>
            <a:schemeClr val="bg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Segoe UI" panose="020B0502040204020203" pitchFamily="34" charset="0"/>
              <a:cs typeface="Segoe UI" panose="020B0502040204020203" pitchFamily="34" charset="0"/>
            </a:rPr>
            <a:t>COMPLETED</a:t>
          </a:r>
          <a:endParaRPr lang="en-US" sz="900" b="1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KE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269875</xdr:colOff>
      <xdr:row>9</xdr:row>
      <xdr:rowOff>87311</xdr:rowOff>
    </xdr:from>
    <xdr:to>
      <xdr:col>12</xdr:col>
      <xdr:colOff>23813</xdr:colOff>
      <xdr:row>25</xdr:row>
      <xdr:rowOff>150812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85879CD-4223-A3A9-4367-AD2F596E7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182562</xdr:colOff>
      <xdr:row>9</xdr:row>
      <xdr:rowOff>76200</xdr:rowOff>
    </xdr:from>
    <xdr:to>
      <xdr:col>18</xdr:col>
      <xdr:colOff>23812</xdr:colOff>
      <xdr:row>26</xdr:row>
      <xdr:rowOff>55563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04BBAB6-B32F-2FDE-2506-98673247D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527050</xdr:colOff>
      <xdr:row>13</xdr:row>
      <xdr:rowOff>76200</xdr:rowOff>
    </xdr:from>
    <xdr:to>
      <xdr:col>9</xdr:col>
      <xdr:colOff>88900</xdr:colOff>
      <xdr:row>13</xdr:row>
      <xdr:rowOff>146050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66C6A7F-9F6C-4202-7BA8-113FD7C0E700}"/>
            </a:ext>
          </a:extLst>
        </xdr:cNvPr>
        <xdr:cNvSpPr/>
      </xdr:nvSpPr>
      <xdr:spPr>
        <a:xfrm>
          <a:off x="2222500" y="2101850"/>
          <a:ext cx="1244600" cy="69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K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0</xdr:rowOff>
    </xdr:from>
    <xdr:to>
      <xdr:col>8</xdr:col>
      <xdr:colOff>552450</xdr:colOff>
      <xdr:row>5</xdr:row>
      <xdr:rowOff>50800</xdr:rowOff>
    </xdr:to>
    <xdr:sp macro="[0]!SortAscend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DB77E7-8C49-AFDE-D635-797B10756656}"/>
            </a:ext>
          </a:extLst>
        </xdr:cNvPr>
        <xdr:cNvSpPr/>
      </xdr:nvSpPr>
      <xdr:spPr>
        <a:xfrm>
          <a:off x="8134350" y="368300"/>
          <a:ext cx="1123950" cy="431800"/>
        </a:xfrm>
        <a:prstGeom prst="roundRect">
          <a:avLst/>
        </a:prstGeom>
        <a:solidFill>
          <a:srgbClr val="30A6D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SORT</a:t>
          </a:r>
          <a:endParaRPr lang="en-KE" sz="16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imbacorp-my.sharepoint.com/personal/ikaranja_simbacolt_com/Documents/WORKING%20FILES/POWER%20BI%20USAGE%20METRICS.xlsx" TargetMode="External"/><Relationship Id="rId1" Type="http://schemas.openxmlformats.org/officeDocument/2006/relationships/externalLinkPath" Target="/personal/ikaranja_simbacolt_com/Documents/WORKING%20FILES/POWER%20BI%20USAGE%20METRI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DEPARTMENT</v>
          </cell>
          <cell r="B1" t="str">
            <v>USE</v>
          </cell>
          <cell r="C1" t="str">
            <v>FREQUENCY</v>
          </cell>
        </row>
        <row r="2">
          <cell r="A2" t="str">
            <v>LEGAL &amp; HUMAN RESOURCES</v>
          </cell>
          <cell r="B2" t="str">
            <v>POWER BI</v>
          </cell>
          <cell r="C2" t="str">
            <v>Frequent</v>
          </cell>
        </row>
        <row r="3">
          <cell r="A3" t="str">
            <v>SALES PASSENGER</v>
          </cell>
          <cell r="B3" t="str">
            <v>POWER BI</v>
          </cell>
          <cell r="C3" t="str">
            <v>Irregular</v>
          </cell>
        </row>
        <row r="4">
          <cell r="A4" t="str">
            <v>SUPPLY CHAIN</v>
          </cell>
          <cell r="B4" t="str">
            <v>IN PLAN</v>
          </cell>
        </row>
        <row r="5">
          <cell r="A5" t="str">
            <v>PROCUREMENT &amp; FACILITIES</v>
          </cell>
        </row>
        <row r="6">
          <cell r="A6" t="str">
            <v>POWER SYSTEMS DIVISION</v>
          </cell>
          <cell r="B6" t="str">
            <v>POWER BI</v>
          </cell>
          <cell r="C6" t="str">
            <v>Irregular</v>
          </cell>
        </row>
        <row r="7">
          <cell r="A7" t="str">
            <v>KISII BRANCH</v>
          </cell>
          <cell r="B7" t="str">
            <v>POWER BI</v>
          </cell>
          <cell r="C7" t="str">
            <v>Frequent</v>
          </cell>
        </row>
        <row r="8">
          <cell r="A8" t="str">
            <v>SALES TRUCKS</v>
          </cell>
          <cell r="B8" t="str">
            <v>POWER BI</v>
          </cell>
          <cell r="C8" t="str">
            <v>Irregular</v>
          </cell>
        </row>
        <row r="9">
          <cell r="A9" t="str">
            <v>GOVERNMENT SALES &amp; LEASING</v>
          </cell>
          <cell r="B9" t="str">
            <v>IN PLAN</v>
          </cell>
        </row>
        <row r="10">
          <cell r="A10" t="str">
            <v>AFTERSALES</v>
          </cell>
          <cell r="B10" t="str">
            <v>POWER BI</v>
          </cell>
          <cell r="C10" t="str">
            <v>Frequent</v>
          </cell>
        </row>
        <row r="11">
          <cell r="A11" t="str">
            <v>FINANCE</v>
          </cell>
        </row>
        <row r="12">
          <cell r="A12" t="str">
            <v>MOMBASA BRANCH</v>
          </cell>
          <cell r="B12" t="str">
            <v>POWER BI</v>
          </cell>
          <cell r="C12" t="str">
            <v>Frequent</v>
          </cell>
        </row>
        <row r="13">
          <cell r="A13" t="str">
            <v>SAME</v>
          </cell>
          <cell r="B13" t="str">
            <v>POWER BI</v>
          </cell>
          <cell r="C13" t="str">
            <v>Irregular</v>
          </cell>
        </row>
        <row r="14">
          <cell r="A14" t="str">
            <v>PROJECTS</v>
          </cell>
        </row>
        <row r="15">
          <cell r="A15" t="str">
            <v>FOUNDATION</v>
          </cell>
        </row>
        <row r="16">
          <cell r="A16" t="str">
            <v>CORPORATE HQS</v>
          </cell>
        </row>
        <row r="17">
          <cell r="A17" t="str">
            <v>ICT</v>
          </cell>
        </row>
        <row r="18">
          <cell r="A18" t="str">
            <v>SVRL</v>
          </cell>
          <cell r="B18" t="str">
            <v>IN PLAN</v>
          </cell>
        </row>
        <row r="19">
          <cell r="A19" t="str">
            <v>MARKETING</v>
          </cell>
          <cell r="B19" t="str">
            <v>POWER BI</v>
          </cell>
          <cell r="C19" t="str">
            <v>Irregular</v>
          </cell>
        </row>
        <row r="20">
          <cell r="A20" t="str">
            <v>KISUMU BRANCH</v>
          </cell>
          <cell r="B20" t="str">
            <v>POWER BI</v>
          </cell>
          <cell r="C20" t="str">
            <v>Frequent</v>
          </cell>
        </row>
        <row r="21">
          <cell r="A21" t="str">
            <v>SECURITY AND SAFETY</v>
          </cell>
        </row>
        <row r="22">
          <cell r="A22" t="str">
            <v>NYERI BRANCH</v>
          </cell>
          <cell r="B22" t="str">
            <v>POWER BI</v>
          </cell>
          <cell r="C22" t="str">
            <v>Irregular</v>
          </cell>
        </row>
        <row r="23">
          <cell r="A23" t="str">
            <v>INTERNAL AUDIT</v>
          </cell>
          <cell r="B23" t="str">
            <v>POWER BI</v>
          </cell>
          <cell r="C23" t="str">
            <v>Irregular</v>
          </cell>
        </row>
        <row r="24">
          <cell r="A24" t="str">
            <v>DELUXE TRUCKS &amp; BUSES LIMITED</v>
          </cell>
          <cell r="B24" t="str">
            <v>POWER BI</v>
          </cell>
          <cell r="C24" t="str">
            <v>Irregular</v>
          </cell>
        </row>
        <row r="25">
          <cell r="A25" t="str">
            <v>STRATEGY AND BUSINESS INTELLIGENCE</v>
          </cell>
          <cell r="B25" t="str">
            <v>POWER BI</v>
          </cell>
          <cell r="C25" t="str">
            <v>Frequent</v>
          </cell>
        </row>
        <row r="26">
          <cell r="A26" t="str">
            <v>SALES FREELANCE</v>
          </cell>
          <cell r="B26" t="str">
            <v>POWER BI</v>
          </cell>
          <cell r="C26" t="str">
            <v>Frequent</v>
          </cell>
        </row>
        <row r="27">
          <cell r="A27" t="str">
            <v>OPERATIONS HOSPITALITY</v>
          </cell>
        </row>
        <row r="28">
          <cell r="A28" t="str">
            <v>ACACIA PREMIER</v>
          </cell>
        </row>
        <row r="29">
          <cell r="A29" t="str">
            <v>SALES PICKUPS</v>
          </cell>
          <cell r="B29" t="str">
            <v>POWER BI</v>
          </cell>
          <cell r="C29" t="str">
            <v>Irregular</v>
          </cell>
        </row>
        <row r="30">
          <cell r="A30" t="str">
            <v>NAIROBI STREET KITCHEN LIMITED</v>
          </cell>
        </row>
        <row r="31">
          <cell r="A31" t="str">
            <v>UVA WINES</v>
          </cell>
        </row>
        <row r="32">
          <cell r="A32" t="str">
            <v>AVA</v>
          </cell>
        </row>
        <row r="33">
          <cell r="A33" t="str">
            <v>HUMAN RESOURCES-AVA</v>
          </cell>
        </row>
        <row r="34">
          <cell r="A34" t="str">
            <v>FINANCE AND ADMINISTRATION-AVA</v>
          </cell>
        </row>
        <row r="35">
          <cell r="A35" t="str">
            <v>PRODUCTION-AVA</v>
          </cell>
        </row>
        <row r="36">
          <cell r="A36" t="str">
            <v>TECHNICAL SERVICES DEPARTMENT-AVA</v>
          </cell>
        </row>
        <row r="37">
          <cell r="A37" t="str">
            <v>INNOVATION AND TECHNOLOGY-AVA</v>
          </cell>
        </row>
        <row r="38">
          <cell r="A38" t="str">
            <v>BUSINESS DEVELOPMENT</v>
          </cell>
          <cell r="B38" t="str">
            <v>POWER BI</v>
          </cell>
          <cell r="C38" t="str">
            <v>Irregular</v>
          </cell>
        </row>
        <row r="39">
          <cell r="A39" t="str">
            <v>QUALITY-AVA</v>
          </cell>
        </row>
        <row r="40">
          <cell r="A40" t="str">
            <v>BUSINESS DEVELOPMENT-AVA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3FE556-00A7-4D68-B9DC-A079E40C473F}" name="Table4" displayName="Table4" ref="F7:K8" totalsRowShown="0" headerRowDxfId="1" dataDxfId="7" tableBorderDxfId="22" totalsRowBorderDxfId="21">
  <tableColumns count="6">
    <tableColumn id="1" xr3:uid="{7F10BD55-7463-4807-9FC0-D63FFE86B2DC}" name=" " dataDxfId="13"/>
    <tableColumn id="2" xr3:uid="{DCC2B0E8-5CDD-423D-8BA5-940379F97C37}" name="Today" dataDxfId="12">
      <calculatedColumnFormula array="1">COUNTIF(Deadlines,TODAY())</calculatedColumnFormula>
    </tableColumn>
    <tableColumn id="3" xr3:uid="{A0DB4D54-07DC-41F0-A2B6-BA12EAEFC6A8}" name="Tomorrow" dataDxfId="11">
      <calculatedColumnFormula array="1">COUNTIF(Deadlines,TODAY()+1)</calculatedColumnFormula>
    </tableColumn>
    <tableColumn id="4" xr3:uid="{2A5C1F47-CBB6-4649-A50D-E4A17DCC21B5}" name="This week" dataDxfId="10">
      <calculatedColumnFormula array="1">SUM(IF(Deadlines&gt;=TODAY()-WEEKDAY(TODAY(),2)+1,IF(Deadlines&lt;TODAY()-WEEKDAY(TODAY(),2)+1+7,1,0),0))</calculatedColumnFormula>
    </tableColumn>
    <tableColumn id="5" xr3:uid="{F0392825-4996-4328-B275-14A55C952E5E}" name="Next Week " dataDxfId="9">
      <calculatedColumnFormula array="1">SUM(IF(Deadlines&gt;=TODAY()+7-WEEKDAY(TODAY(),2)+1,IF(Deadlines&lt;TODAY()+7-WEEKDAY(TODAY(),2)+1+7,1,0),0))</calculatedColumnFormula>
    </tableColumn>
    <tableColumn id="6" xr3:uid="{E5B1A268-5DA8-4385-AA3A-92C18E2FF987}" name="This Month" dataDxfId="8">
      <calculatedColumnFormula array="1">SUM(IF(Deadlines&gt;=DATE(YEAR(TODAY()),MONTH(TODAY()),1),IF(Deadlines&lt;=EOMONTH(TODAY(),0),1,0),0))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3C87C3-EE06-4896-9F2C-54C6CC1A0D6B}" name="Table5" displayName="Table5" ref="N7:Q8" totalsRowShown="0" headerRowDxfId="0" dataDxfId="2" tableBorderDxfId="20" totalsRowBorderDxfId="19">
  <tableColumns count="4">
    <tableColumn id="1" xr3:uid="{8705B25D-61C6-4806-AD5B-F4781B0AC2EB}" name=" " dataDxfId="6"/>
    <tableColumn id="2" xr3:uid="{DE17C1D7-7E83-4AC8-89EB-D2004BC96C86}" name="Completed" dataDxfId="5">
      <calculatedColumnFormula>COUNTIF('To Do'!$F:$F,INTERFACE!O7)</calculatedColumnFormula>
    </tableColumn>
    <tableColumn id="3" xr3:uid="{953CF8FC-28D8-4E52-A2F2-452F290C3A5B}" name="In Progress" dataDxfId="4">
      <calculatedColumnFormula>COUNTIF('To Do'!$F:$F,INTERFACE!P7)</calculatedColumnFormula>
    </tableColumn>
    <tableColumn id="4" xr3:uid="{1CF1DB7D-2E99-4693-A982-7CB1C459E22D}" name="Not Started" dataDxfId="3">
      <calculatedColumnFormula>COUNTIF('To Do'!$F:$F,INTERFACE!Q7)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981EC1-E1DF-42E2-93CC-05E4E0A90197}" name="Table6" displayName="Table6" ref="A1:F30" totalsRowShown="0" headerRowDxfId="15">
  <autoFilter ref="A1:F30" xr:uid="{9A4EBC4C-E24E-4A4C-880B-65F468B0B223}"/>
  <tableColumns count="6">
    <tableColumn id="1" xr3:uid="{7AFA0853-0B4C-42AC-9A89-488514616AA2}" name="No."/>
    <tableColumn id="2" xr3:uid="{C8C435E8-8733-431B-A02E-2C568625C02B}" name="Item"/>
    <tableColumn id="3" xr3:uid="{7E2DE0D5-D74A-4F5D-BC62-202B9F17B916}" name="Update"/>
    <tableColumn id="4" xr3:uid="{0B0B1EEE-EF8B-4F5E-8409-B16A422D1F42}" name="Timelines" dataDxfId="14"/>
    <tableColumn id="5" xr3:uid="{23344713-4A63-4420-BDB8-6EFC1170DE9D}" name="Responsibility"/>
    <tableColumn id="6" xr3:uid="{02F098F7-6D77-4151-BD4A-98592114D240}" name="Statu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E669BC-29B2-4421-AC24-4962F15D917C}" name="Table1" displayName="Table1" ref="A1:A4" totalsRowShown="0">
  <autoFilter ref="A1:A4" xr:uid="{50E669BC-29B2-4421-AC24-4962F15D917C}"/>
  <tableColumns count="1">
    <tableColumn id="1" xr3:uid="{DE71D904-1CBA-4F9A-B5E5-3C6B804D67FF}" name="Responsible Pers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FECBE5-57BB-4687-B2B1-209542ADE330}" name="Table2" displayName="Table2" ref="D1:D30" totalsRowShown="0">
  <autoFilter ref="D1:D30" xr:uid="{FBFECBE5-57BB-4687-B2B1-209542ADE330}"/>
  <tableColumns count="1">
    <tableColumn id="1" xr3:uid="{ACEF6DCA-63A2-4AD7-8812-A51C36D1A860}" name="PROJEC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66FA1C-ADC5-48AE-9D7B-15BED1A48DD1}" name="Table3" displayName="Table3" ref="G1:G4" totalsRowShown="0">
  <autoFilter ref="G1:G4" xr:uid="{DF66FA1C-ADC5-48AE-9D7B-15BED1A48DD1}"/>
  <tableColumns count="1">
    <tableColumn id="1" xr3:uid="{E8EA6819-584D-419C-99E4-3279F6D5F7F3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57FF-3BD5-47C7-B413-2E9A6F939D54}">
  <sheetPr codeName="Sheet6"/>
  <dimension ref="F1:X21"/>
  <sheetViews>
    <sheetView showGridLines="0" tabSelected="1" zoomScale="70" zoomScaleNormal="70" workbookViewId="0">
      <selection activeCell="V20" sqref="V20"/>
    </sheetView>
  </sheetViews>
  <sheetFormatPr defaultColWidth="8.7109375" defaultRowHeight="15" x14ac:dyDescent="0.25"/>
  <cols>
    <col min="1" max="4" width="8.7109375" style="17"/>
    <col min="5" max="5" width="4.140625" style="17" bestFit="1" customWidth="1"/>
    <col min="6" max="6" width="8.140625" style="17" customWidth="1"/>
    <col min="7" max="7" width="8.5703125" style="17" bestFit="1" customWidth="1"/>
    <col min="8" max="8" width="13.5703125" style="18" bestFit="1" customWidth="1"/>
    <col min="9" max="9" width="12.85546875" style="17" bestFit="1" customWidth="1"/>
    <col min="10" max="10" width="15.140625" style="17" bestFit="1" customWidth="1"/>
    <col min="11" max="11" width="15" style="17" customWidth="1"/>
    <col min="12" max="13" width="8.7109375" style="17"/>
    <col min="14" max="14" width="10.85546875" style="17" customWidth="1"/>
    <col min="15" max="15" width="16.42578125" style="17" customWidth="1"/>
    <col min="16" max="16" width="15.5703125" style="17" customWidth="1"/>
    <col min="17" max="17" width="16" style="17" customWidth="1"/>
    <col min="18" max="18" width="8.7109375" style="21"/>
    <col min="19" max="19" width="10.85546875" style="21" bestFit="1" customWidth="1"/>
    <col min="20" max="21" width="8.7109375" style="21"/>
    <col min="22" max="22" width="10.5703125" style="21" bestFit="1" customWidth="1"/>
    <col min="23" max="24" width="8.7109375" style="21"/>
    <col min="25" max="16384" width="8.7109375" style="17"/>
  </cols>
  <sheetData>
    <row r="1" spans="6:23" ht="59.25" x14ac:dyDescent="0.25">
      <c r="K1" s="19" t="s">
        <v>88</v>
      </c>
      <c r="L1" s="20"/>
      <c r="M1" s="20"/>
      <c r="N1" s="20"/>
      <c r="O1" s="20"/>
      <c r="P1" s="20"/>
    </row>
    <row r="2" spans="6:23" ht="15.6" customHeight="1" x14ac:dyDescent="0.25">
      <c r="K2" s="20"/>
      <c r="L2" s="20"/>
      <c r="M2" s="20"/>
      <c r="N2" s="20"/>
      <c r="O2" s="20"/>
      <c r="P2" s="20"/>
    </row>
    <row r="3" spans="6:23" ht="15.6" customHeight="1" x14ac:dyDescent="0.25">
      <c r="K3" s="20"/>
      <c r="L3" s="20"/>
      <c r="M3" s="20"/>
      <c r="N3" s="20"/>
      <c r="O3" s="20"/>
      <c r="P3" s="20"/>
    </row>
    <row r="4" spans="6:23" ht="15.6" customHeight="1" x14ac:dyDescent="0.25">
      <c r="S4" s="31"/>
      <c r="T4" s="31"/>
      <c r="U4" s="31"/>
      <c r="V4" s="31"/>
      <c r="W4" s="31"/>
    </row>
    <row r="5" spans="6:23" ht="15.6" customHeight="1" x14ac:dyDescent="0.25">
      <c r="G5" s="22"/>
      <c r="H5" s="22"/>
      <c r="I5" s="22"/>
      <c r="J5" s="22"/>
      <c r="K5" s="22"/>
      <c r="S5" s="32">
        <f ca="1">COUNTIF(OFFSET('To Do'!$F$2,,,COUNTA('To Do'!$F$2:$F$30)),"&lt;&gt;Completed")</f>
        <v>25</v>
      </c>
      <c r="T5" s="31"/>
      <c r="U5" s="31"/>
      <c r="V5" s="31"/>
      <c r="W5" s="31"/>
    </row>
    <row r="6" spans="6:23" x14ac:dyDescent="0.25">
      <c r="S6" s="31" cm="1">
        <f t="array" aca="1" ref="S6" ca="1">COUNTIFS('To Do'!$B$2:$B$30,AND(OFFSET('To Do'!$F$2,,,COUNTA('To Do'!$F$2:$F$30))&lt;&gt;"Completed",Deadlines&gt;=DATE(YEAR(TODAY()),MONTH(TODAY()),1),Deadlines&lt;=EOMONTH(TODAY(),0)))</f>
        <v>0</v>
      </c>
      <c r="T6" s="31" t="e" cm="1">
        <f t="array" aca="1" ref="T6" ca="1">COUNTIF(WorkStatus,AND(OFFSET('To Do'!$F$2,,,COUNTA('To Do'!$F$2:$F$30))&lt;&gt;"Completed",Deadlines&gt;=DATE(YEAR(TODAY()),MONTH(TODAY()),1),Deadlines&lt;=EOMONTH(TODAY(),0)))</f>
        <v>#VALUE!</v>
      </c>
      <c r="U6" s="31" cm="1">
        <f t="array" aca="1" ref="U6" ca="1">COUNTIFS(Table6[Status],"&lt;&gt;Completed",Deadlines,"&gt;="&amp;DATE(YEAR(TODAY()),MONTH(TODAY()),1),Deadlines,"&lt;="&amp;EOMONTH(TODAY(),0))</f>
        <v>2</v>
      </c>
      <c r="V6" s="31" cm="1">
        <f t="array" aca="1" ref="V6" ca="1">SUM(IF(Table6[Status]&lt;&gt;"Completed",IF(AND(Deadlines&gt;=DATE(YEAR(TODAY()),MONTH(TODAY()),1),Deadlines&lt;=EOMONTH(TODAY(),0)),1,0),0))</f>
        <v>0</v>
      </c>
      <c r="W6" s="31"/>
    </row>
    <row r="7" spans="6:23" s="30" customFormat="1" ht="17.25" x14ac:dyDescent="0.3">
      <c r="F7" s="28" t="s">
        <v>84</v>
      </c>
      <c r="G7" s="28" t="s">
        <v>79</v>
      </c>
      <c r="H7" s="28" t="s">
        <v>80</v>
      </c>
      <c r="I7" s="29" t="s">
        <v>81</v>
      </c>
      <c r="J7" s="28" t="s">
        <v>82</v>
      </c>
      <c r="K7" s="28" t="s">
        <v>83</v>
      </c>
      <c r="N7" s="28" t="s">
        <v>84</v>
      </c>
      <c r="O7" s="28" t="s">
        <v>74</v>
      </c>
      <c r="P7" s="28" t="s">
        <v>75</v>
      </c>
      <c r="Q7" s="29" t="s">
        <v>76</v>
      </c>
      <c r="S7" s="33" cm="1">
        <f t="array" aca="1" ref="S7" ca="1">COUNTIF(Deadlines,"&gt;="&amp;DATE(YEAR(TODAY()),MONTH(TODAY()),1))</f>
        <v>16</v>
      </c>
      <c r="T7" s="33"/>
      <c r="U7" s="33"/>
      <c r="V7" s="31" cm="1">
        <f t="array" aca="1" ref="V7" ca="1">SUM(IF(Deadlines&gt;=DATE(YEAR(TODAY()),MONTH(TODAY()),1),IF(Deadlines&lt;=EOMONTH(TODAY(),0),1,0),0))</f>
        <v>2</v>
      </c>
      <c r="W7" s="33"/>
    </row>
    <row r="8" spans="6:23" ht="17.25" x14ac:dyDescent="0.3">
      <c r="F8" s="23" t="s">
        <v>78</v>
      </c>
      <c r="G8" s="24" cm="1">
        <f t="array" aca="1" ref="G8" ca="1">COUNTIF(Deadlines,TODAY())</f>
        <v>2</v>
      </c>
      <c r="H8" s="24" cm="1">
        <f t="array" aca="1" ref="H8" ca="1">COUNTIF(Deadlines,TODAY()+1)</f>
        <v>0</v>
      </c>
      <c r="I8" s="24">
        <f t="array" aca="1" ref="I8" ca="1">SUM(IF(Deadlines&gt;=TODAY()-WEEKDAY(TODAY(),2)+1,IF(Deadlines&lt;TODAY()-WEEKDAY(TODAY(),2)+1+7,1,0),0))</f>
        <v>2</v>
      </c>
      <c r="J8" s="24" cm="1">
        <f t="array" aca="1" ref="J8" ca="1">SUM(IF(Deadlines&gt;=TODAY()+7-WEEKDAY(TODAY(),2)+1,IF(Deadlines&lt;TODAY()+7-WEEKDAY(TODAY(),2)+1+7,1,0),0))</f>
        <v>0</v>
      </c>
      <c r="K8" s="25" cm="1">
        <f t="array" aca="1" ref="K8" ca="1">SUM(IF(Deadlines&gt;=DATE(YEAR(TODAY()),MONTH(TODAY()),1),IF(Deadlines&lt;=EOMONTH(TODAY(),0),1,0),0))</f>
        <v>2</v>
      </c>
      <c r="N8" s="23" t="s">
        <v>72</v>
      </c>
      <c r="O8" s="24">
        <f>COUNTIF('To Do'!$F:$F,INTERFACE!O7)</f>
        <v>3</v>
      </c>
      <c r="P8" s="24">
        <f>COUNTIF('To Do'!$F:$F,INTERFACE!P7)</f>
        <v>11</v>
      </c>
      <c r="Q8" s="24">
        <f>COUNTIF('To Do'!$F:$F,INTERFACE!Q7)</f>
        <v>14</v>
      </c>
      <c r="S8" s="31" cm="1">
        <f t="array" aca="1" ref="S8" ca="1">COUNTIF(Deadlines,"&lt;="&amp;EOMONTH(TODAY(),0))</f>
        <v>15</v>
      </c>
      <c r="T8" s="31"/>
      <c r="U8" s="31"/>
      <c r="V8" s="34">
        <f ca="1">EOMONTH(TODAY(),0)</f>
        <v>45991</v>
      </c>
      <c r="W8" s="31"/>
    </row>
    <row r="9" spans="6:23" x14ac:dyDescent="0.25">
      <c r="S9" s="31"/>
      <c r="T9" s="31"/>
      <c r="U9" s="31"/>
      <c r="V9" s="34">
        <f ca="1">DATE(YEAR(TODAY()),MONTH(TODAY()),1)</f>
        <v>45962</v>
      </c>
      <c r="W9" s="31"/>
    </row>
    <row r="10" spans="6:23" x14ac:dyDescent="0.25">
      <c r="J10" s="26"/>
      <c r="S10" s="31" t="e">
        <f>COUNTIF(WorkStatus,"&lt;&gt;"&amp;"Completed")</f>
        <v>#VALUE!</v>
      </c>
      <c r="T10" s="31"/>
      <c r="U10" s="31"/>
      <c r="V10" s="31"/>
      <c r="W10" s="31"/>
    </row>
    <row r="11" spans="6:23" x14ac:dyDescent="0.25">
      <c r="S11" s="31"/>
      <c r="T11" s="31"/>
      <c r="U11" s="31"/>
      <c r="V11" s="31"/>
      <c r="W11" s="31"/>
    </row>
    <row r="12" spans="6:23" x14ac:dyDescent="0.25">
      <c r="S12" s="31"/>
      <c r="T12" s="31"/>
      <c r="U12" s="31"/>
      <c r="V12" s="31"/>
      <c r="W12" s="31"/>
    </row>
    <row r="13" spans="6:23" x14ac:dyDescent="0.25">
      <c r="S13" s="31"/>
      <c r="T13" s="31"/>
      <c r="U13" s="31"/>
      <c r="V13" s="31"/>
      <c r="W13" s="31"/>
    </row>
    <row r="14" spans="6:23" x14ac:dyDescent="0.25">
      <c r="I14" s="27"/>
    </row>
    <row r="15" spans="6:23" x14ac:dyDescent="0.25">
      <c r="I15" s="27"/>
    </row>
    <row r="16" spans="6:23" x14ac:dyDescent="0.25">
      <c r="I16" s="27"/>
    </row>
    <row r="17" spans="9:9" x14ac:dyDescent="0.25">
      <c r="I17" s="27"/>
    </row>
    <row r="18" spans="9:9" x14ac:dyDescent="0.25">
      <c r="I18" s="27"/>
    </row>
    <row r="19" spans="9:9" x14ac:dyDescent="0.25">
      <c r="I19" s="27"/>
    </row>
    <row r="20" spans="9:9" x14ac:dyDescent="0.25">
      <c r="I20" s="27"/>
    </row>
    <row r="21" spans="9:9" x14ac:dyDescent="0.25">
      <c r="I21" s="27"/>
    </row>
  </sheetData>
  <pageMargins left="0.7" right="0.7" top="0.75" bottom="0.75" header="0.3" footer="0.3"/>
  <pageSetup paperSize="9" orientation="portrait" r:id="rId1"/>
  <ignoredErrors>
    <ignoredError sqref="S10 T6:U6" evalError="1"/>
  </ignoredError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C4C-E24E-4A4C-880B-65F468B0B223}">
  <sheetPr codeName="Sheet2"/>
  <dimension ref="A1:H30"/>
  <sheetViews>
    <sheetView workbookViewId="0">
      <selection activeCell="E13" sqref="E13"/>
    </sheetView>
  </sheetViews>
  <sheetFormatPr defaultRowHeight="15" x14ac:dyDescent="0.25"/>
  <cols>
    <col min="1" max="1" width="5.5703125" customWidth="1"/>
    <col min="2" max="2" width="36.7109375" customWidth="1"/>
    <col min="3" max="3" width="49.42578125" customWidth="1"/>
    <col min="4" max="4" width="12.28515625" customWidth="1"/>
    <col min="5" max="5" width="20.5703125" customWidth="1"/>
    <col min="6" max="6" width="11.28515625" customWidth="1"/>
    <col min="8" max="8" width="10.42578125" style="16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67</v>
      </c>
      <c r="F1" s="1" t="s">
        <v>72</v>
      </c>
      <c r="H1" s="15"/>
    </row>
    <row r="2" spans="1:8" x14ac:dyDescent="0.25">
      <c r="A2">
        <v>1</v>
      </c>
      <c r="B2" t="s">
        <v>4</v>
      </c>
      <c r="C2" t="s">
        <v>37</v>
      </c>
      <c r="D2" s="6">
        <v>46225</v>
      </c>
      <c r="E2" t="s">
        <v>89</v>
      </c>
      <c r="F2" t="s">
        <v>75</v>
      </c>
    </row>
    <row r="3" spans="1:8" x14ac:dyDescent="0.25">
      <c r="A3">
        <v>2</v>
      </c>
      <c r="B3" t="s">
        <v>5</v>
      </c>
      <c r="C3" t="s">
        <v>87</v>
      </c>
      <c r="D3" s="6">
        <f ca="1">TODAY()</f>
        <v>45982</v>
      </c>
      <c r="E3" t="s">
        <v>68</v>
      </c>
      <c r="F3" t="s">
        <v>76</v>
      </c>
    </row>
    <row r="4" spans="1:8" x14ac:dyDescent="0.25">
      <c r="A4">
        <v>3</v>
      </c>
      <c r="B4" t="s">
        <v>6</v>
      </c>
      <c r="C4" t="s">
        <v>7</v>
      </c>
      <c r="D4" s="6">
        <v>45566</v>
      </c>
      <c r="E4" t="s">
        <v>89</v>
      </c>
      <c r="F4" t="s">
        <v>75</v>
      </c>
    </row>
    <row r="5" spans="1:8" ht="17.25" customHeight="1" x14ac:dyDescent="0.25">
      <c r="A5">
        <v>4</v>
      </c>
      <c r="B5" t="s">
        <v>8</v>
      </c>
      <c r="C5" t="s">
        <v>86</v>
      </c>
      <c r="D5" s="6">
        <v>45411</v>
      </c>
      <c r="E5" t="s">
        <v>90</v>
      </c>
      <c r="F5" t="s">
        <v>74</v>
      </c>
    </row>
    <row r="6" spans="1:8" x14ac:dyDescent="0.25">
      <c r="A6">
        <v>5</v>
      </c>
      <c r="B6" t="s">
        <v>9</v>
      </c>
      <c r="C6" t="s">
        <v>77</v>
      </c>
      <c r="D6" s="6">
        <v>45900</v>
      </c>
      <c r="F6" t="s">
        <v>76</v>
      </c>
    </row>
    <row r="7" spans="1:8" x14ac:dyDescent="0.25">
      <c r="A7">
        <v>6</v>
      </c>
      <c r="B7" t="s">
        <v>10</v>
      </c>
      <c r="C7" t="s">
        <v>11</v>
      </c>
      <c r="D7" s="6">
        <v>45779</v>
      </c>
      <c r="E7" t="s">
        <v>90</v>
      </c>
      <c r="F7" t="s">
        <v>76</v>
      </c>
    </row>
    <row r="8" spans="1:8" x14ac:dyDescent="0.25">
      <c r="A8">
        <v>7</v>
      </c>
      <c r="B8" t="s">
        <v>12</v>
      </c>
      <c r="C8" t="s">
        <v>85</v>
      </c>
      <c r="D8" s="6">
        <f ca="1">TODAY()</f>
        <v>45982</v>
      </c>
      <c r="F8" t="s">
        <v>76</v>
      </c>
    </row>
    <row r="9" spans="1:8" x14ac:dyDescent="0.25">
      <c r="A9">
        <v>8</v>
      </c>
      <c r="B9" t="s">
        <v>13</v>
      </c>
      <c r="C9" t="s">
        <v>38</v>
      </c>
      <c r="D9" s="6">
        <v>46151</v>
      </c>
      <c r="E9" t="s">
        <v>68</v>
      </c>
      <c r="F9" t="s">
        <v>75</v>
      </c>
    </row>
    <row r="10" spans="1:8" x14ac:dyDescent="0.25">
      <c r="A10">
        <v>9</v>
      </c>
      <c r="B10" t="s">
        <v>14</v>
      </c>
      <c r="C10" t="s">
        <v>39</v>
      </c>
      <c r="D10" s="6">
        <v>46296</v>
      </c>
      <c r="F10" t="s">
        <v>76</v>
      </c>
    </row>
    <row r="11" spans="1:8" x14ac:dyDescent="0.25">
      <c r="A11">
        <v>10</v>
      </c>
      <c r="B11" t="s">
        <v>40</v>
      </c>
      <c r="C11" t="s">
        <v>41</v>
      </c>
      <c r="D11" s="6">
        <v>45902</v>
      </c>
      <c r="E11" t="s">
        <v>89</v>
      </c>
      <c r="F11" t="s">
        <v>75</v>
      </c>
    </row>
    <row r="12" spans="1:8" x14ac:dyDescent="0.25">
      <c r="A12">
        <v>11</v>
      </c>
      <c r="B12" t="s">
        <v>15</v>
      </c>
      <c r="C12" t="s">
        <v>42</v>
      </c>
      <c r="D12" s="6">
        <v>46175</v>
      </c>
      <c r="E12" t="s">
        <v>68</v>
      </c>
      <c r="F12" t="s">
        <v>75</v>
      </c>
    </row>
    <row r="13" spans="1:8" x14ac:dyDescent="0.25">
      <c r="A13">
        <v>12</v>
      </c>
      <c r="B13" t="s">
        <v>16</v>
      </c>
      <c r="C13" t="s">
        <v>43</v>
      </c>
      <c r="D13" s="6">
        <v>45448</v>
      </c>
      <c r="E13" t="s">
        <v>89</v>
      </c>
      <c r="F13" t="s">
        <v>74</v>
      </c>
    </row>
    <row r="14" spans="1:8" x14ac:dyDescent="0.25">
      <c r="A14">
        <v>13</v>
      </c>
      <c r="B14" t="s">
        <v>17</v>
      </c>
      <c r="C14" t="s">
        <v>43</v>
      </c>
      <c r="D14" s="6">
        <v>45447</v>
      </c>
      <c r="E14" t="s">
        <v>89</v>
      </c>
      <c r="F14" t="s">
        <v>75</v>
      </c>
    </row>
    <row r="15" spans="1:8" x14ac:dyDescent="0.25">
      <c r="A15">
        <v>14</v>
      </c>
      <c r="B15" t="s">
        <v>18</v>
      </c>
      <c r="C15" t="s">
        <v>44</v>
      </c>
      <c r="D15" s="6">
        <v>45454</v>
      </c>
      <c r="E15" t="s">
        <v>89</v>
      </c>
      <c r="F15" t="s">
        <v>75</v>
      </c>
    </row>
    <row r="16" spans="1:8" x14ac:dyDescent="0.25">
      <c r="A16">
        <v>15</v>
      </c>
      <c r="B16" t="s">
        <v>19</v>
      </c>
      <c r="C16" t="s">
        <v>20</v>
      </c>
      <c r="D16" s="6">
        <v>46198</v>
      </c>
      <c r="E16" t="s">
        <v>68</v>
      </c>
      <c r="F16" t="s">
        <v>75</v>
      </c>
    </row>
    <row r="17" spans="1:6" x14ac:dyDescent="0.25">
      <c r="A17">
        <v>16</v>
      </c>
      <c r="B17" t="s">
        <v>21</v>
      </c>
      <c r="C17" t="s">
        <v>20</v>
      </c>
      <c r="D17" s="6">
        <v>46177</v>
      </c>
      <c r="E17" t="s">
        <v>90</v>
      </c>
      <c r="F17" t="s">
        <v>76</v>
      </c>
    </row>
    <row r="18" spans="1:6" x14ac:dyDescent="0.25">
      <c r="A18">
        <v>17</v>
      </c>
      <c r="B18" t="s">
        <v>22</v>
      </c>
      <c r="C18" t="s">
        <v>20</v>
      </c>
      <c r="D18" s="6">
        <v>45869</v>
      </c>
      <c r="E18" t="s">
        <v>90</v>
      </c>
      <c r="F18" t="s">
        <v>76</v>
      </c>
    </row>
    <row r="19" spans="1:6" x14ac:dyDescent="0.25">
      <c r="A19">
        <v>18</v>
      </c>
      <c r="B19" t="s">
        <v>23</v>
      </c>
      <c r="C19" t="s">
        <v>45</v>
      </c>
      <c r="D19" s="6">
        <v>46204</v>
      </c>
      <c r="E19" t="s">
        <v>89</v>
      </c>
      <c r="F19" t="s">
        <v>76</v>
      </c>
    </row>
    <row r="20" spans="1:6" x14ac:dyDescent="0.25">
      <c r="A20">
        <v>19</v>
      </c>
      <c r="B20" t="s">
        <v>24</v>
      </c>
      <c r="C20" t="s">
        <v>20</v>
      </c>
      <c r="D20" s="6">
        <v>45456</v>
      </c>
      <c r="E20" t="s">
        <v>68</v>
      </c>
      <c r="F20" t="s">
        <v>76</v>
      </c>
    </row>
    <row r="21" spans="1:6" x14ac:dyDescent="0.25">
      <c r="A21">
        <v>20</v>
      </c>
      <c r="B21" t="s">
        <v>25</v>
      </c>
      <c r="C21" t="s">
        <v>26</v>
      </c>
      <c r="D21" s="6">
        <v>46173</v>
      </c>
      <c r="E21" t="s">
        <v>89</v>
      </c>
      <c r="F21" t="s">
        <v>76</v>
      </c>
    </row>
    <row r="22" spans="1:6" x14ac:dyDescent="0.25">
      <c r="A22">
        <v>21</v>
      </c>
      <c r="B22" t="s">
        <v>27</v>
      </c>
      <c r="C22" t="s">
        <v>46</v>
      </c>
      <c r="D22" s="6">
        <v>46185</v>
      </c>
      <c r="E22" t="s">
        <v>68</v>
      </c>
      <c r="F22" t="s">
        <v>76</v>
      </c>
    </row>
    <row r="23" spans="1:6" x14ac:dyDescent="0.25">
      <c r="A23">
        <v>22</v>
      </c>
      <c r="B23" t="s">
        <v>28</v>
      </c>
      <c r="C23" t="s">
        <v>47</v>
      </c>
      <c r="D23" s="6">
        <v>45421</v>
      </c>
      <c r="E23" t="s">
        <v>90</v>
      </c>
      <c r="F23" t="s">
        <v>74</v>
      </c>
    </row>
    <row r="24" spans="1:6" x14ac:dyDescent="0.25">
      <c r="A24">
        <v>23</v>
      </c>
      <c r="B24" t="s">
        <v>29</v>
      </c>
      <c r="C24" t="s">
        <v>48</v>
      </c>
      <c r="D24" s="6">
        <v>45814</v>
      </c>
      <c r="E24" t="s">
        <v>68</v>
      </c>
      <c r="F24" t="s">
        <v>76</v>
      </c>
    </row>
    <row r="25" spans="1:6" x14ac:dyDescent="0.25">
      <c r="A25">
        <v>24</v>
      </c>
      <c r="B25" t="s">
        <v>30</v>
      </c>
      <c r="C25" t="s">
        <v>49</v>
      </c>
      <c r="D25" s="6">
        <v>46186</v>
      </c>
      <c r="E25" t="s">
        <v>68</v>
      </c>
      <c r="F25" t="s">
        <v>76</v>
      </c>
    </row>
    <row r="26" spans="1:6" x14ac:dyDescent="0.25">
      <c r="A26">
        <v>25</v>
      </c>
      <c r="B26" t="s">
        <v>31</v>
      </c>
      <c r="C26" t="s">
        <v>50</v>
      </c>
      <c r="D26" s="6">
        <v>46180</v>
      </c>
      <c r="E26" t="s">
        <v>68</v>
      </c>
      <c r="F26" t="s">
        <v>75</v>
      </c>
    </row>
    <row r="27" spans="1:6" x14ac:dyDescent="0.25">
      <c r="A27">
        <v>26</v>
      </c>
      <c r="B27" t="s">
        <v>32</v>
      </c>
      <c r="C27" t="s">
        <v>33</v>
      </c>
      <c r="D27" s="6">
        <v>46274</v>
      </c>
      <c r="E27" t="s">
        <v>89</v>
      </c>
    </row>
    <row r="28" spans="1:6" x14ac:dyDescent="0.25">
      <c r="A28">
        <v>27</v>
      </c>
      <c r="B28" t="s">
        <v>34</v>
      </c>
      <c r="C28" t="s">
        <v>35</v>
      </c>
      <c r="D28" s="6">
        <v>46274</v>
      </c>
      <c r="E28" t="s">
        <v>89</v>
      </c>
      <c r="F28" t="s">
        <v>75</v>
      </c>
    </row>
    <row r="29" spans="1:6" x14ac:dyDescent="0.25">
      <c r="A29">
        <v>28</v>
      </c>
      <c r="B29" t="s">
        <v>36</v>
      </c>
      <c r="D29" s="6">
        <v>45909</v>
      </c>
      <c r="E29" t="s">
        <v>90</v>
      </c>
      <c r="F29" t="s">
        <v>76</v>
      </c>
    </row>
    <row r="30" spans="1:6" x14ac:dyDescent="0.25">
      <c r="A30">
        <v>29</v>
      </c>
      <c r="B30" t="s">
        <v>52</v>
      </c>
      <c r="D30" s="6">
        <v>46274</v>
      </c>
      <c r="E30" t="s">
        <v>90</v>
      </c>
      <c r="F30" t="s">
        <v>75</v>
      </c>
    </row>
  </sheetData>
  <conditionalFormatting sqref="A2:F30">
    <cfRule type="expression" dxfId="18" priority="7">
      <formula>AND($D2-TODAY()&gt;=0,$D2-TODAY()&lt;=7,$F2&lt;&gt;"Completed")</formula>
    </cfRule>
    <cfRule type="expression" dxfId="17" priority="12">
      <formula>AND($D2-TODAY()&lt;=0,$F2&lt;&gt;"Completed")</formula>
    </cfRule>
    <cfRule type="expression" dxfId="16" priority="14">
      <formula>ISBLANK($D2)</formula>
    </cfRule>
  </conditionalFormatting>
  <dataValidations count="2">
    <dataValidation type="list" allowBlank="1" showInputMessage="1" showErrorMessage="1" sqref="E1:E1048576" xr:uid="{C57BE891-7592-4F1E-A562-71101CB90311}">
      <formula1>Responsible_Person</formula1>
    </dataValidation>
    <dataValidation type="list" allowBlank="1" showInputMessage="1" showErrorMessage="1" sqref="F1:F1048576" xr:uid="{892DE66E-E966-4C8A-B216-044CBEB80FFE}">
      <formula1>STATUS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2C67-C511-41FE-B106-17F15F1AF50D}">
  <sheetPr codeName="Sheet8"/>
  <dimension ref="A1:J7"/>
  <sheetViews>
    <sheetView topLeftCell="A2" workbookViewId="0">
      <selection activeCell="H18" sqref="H18"/>
    </sheetView>
  </sheetViews>
  <sheetFormatPr defaultRowHeight="15" x14ac:dyDescent="0.25"/>
  <cols>
    <col min="1" max="1" width="4.5703125" customWidth="1"/>
    <col min="2" max="2" width="34.28515625" customWidth="1"/>
    <col min="3" max="3" width="35.42578125" customWidth="1"/>
    <col min="4" max="4" width="10.7109375" style="3" customWidth="1"/>
    <col min="5" max="5" width="13.7109375" customWidth="1"/>
    <col min="6" max="6" width="9.85546875" customWidth="1"/>
    <col min="9" max="9" width="9.5703125" customWidth="1"/>
    <col min="10" max="10" width="31.5703125" customWidth="1"/>
  </cols>
  <sheetData>
    <row r="1" spans="1:10" hidden="1" x14ac:dyDescent="0.25">
      <c r="A1" s="9" t="s">
        <v>71</v>
      </c>
      <c r="B1" s="9" t="s">
        <v>71</v>
      </c>
      <c r="C1" s="9" t="s">
        <v>71</v>
      </c>
      <c r="D1" s="10" t="s">
        <v>71</v>
      </c>
      <c r="E1" s="9" t="s">
        <v>71</v>
      </c>
      <c r="F1" s="9"/>
    </row>
    <row r="2" spans="1:10" s="14" customFormat="1" ht="15.75" x14ac:dyDescent="0.25">
      <c r="A2" s="12" t="s">
        <v>0</v>
      </c>
      <c r="B2" s="12" t="s">
        <v>1</v>
      </c>
      <c r="C2" s="12" t="s">
        <v>2</v>
      </c>
      <c r="D2" s="13" t="s">
        <v>3</v>
      </c>
      <c r="E2" s="12" t="s">
        <v>67</v>
      </c>
      <c r="F2" s="12" t="s">
        <v>72</v>
      </c>
    </row>
    <row r="3" spans="1:10" x14ac:dyDescent="0.25">
      <c r="A3">
        <v>4</v>
      </c>
      <c r="B3" t="s">
        <v>8</v>
      </c>
      <c r="C3" t="s">
        <v>86</v>
      </c>
      <c r="D3" s="3">
        <v>45411</v>
      </c>
      <c r="E3" t="s">
        <v>90</v>
      </c>
      <c r="F3" t="s">
        <v>74</v>
      </c>
    </row>
    <row r="4" spans="1:10" x14ac:dyDescent="0.25">
      <c r="A4">
        <v>22</v>
      </c>
      <c r="B4" t="s">
        <v>28</v>
      </c>
      <c r="C4" t="s">
        <v>47</v>
      </c>
      <c r="D4" s="3">
        <v>45421</v>
      </c>
      <c r="E4" t="s">
        <v>90</v>
      </c>
      <c r="F4" t="s">
        <v>74</v>
      </c>
    </row>
    <row r="5" spans="1:10" x14ac:dyDescent="0.25">
      <c r="A5">
        <v>12</v>
      </c>
      <c r="B5" t="s">
        <v>16</v>
      </c>
      <c r="C5" t="s">
        <v>43</v>
      </c>
      <c r="D5" s="3">
        <v>45448</v>
      </c>
      <c r="E5" t="s">
        <v>89</v>
      </c>
      <c r="F5" t="s">
        <v>74</v>
      </c>
      <c r="J5" s="11"/>
    </row>
    <row r="7" spans="1:10" x14ac:dyDescent="0.25">
      <c r="H7" s="8"/>
    </row>
  </sheetData>
  <sortState xmlns:xlrd2="http://schemas.microsoft.com/office/spreadsheetml/2017/richdata2" ref="A3:F5">
    <sortCondition ref="D1:D1048576"/>
  </sortState>
  <dataValidations count="1">
    <dataValidation type="list" allowBlank="1" showInputMessage="1" showErrorMessage="1" sqref="E3:E4 E7:E9" xr:uid="{21C9F51A-AC18-4697-8865-FF5A13B08296}">
      <formula1>Responsible_Person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EBCA-A3A1-4380-8E9E-B16A04B8EAE0}">
  <sheetPr codeName="Sheet3"/>
  <dimension ref="A1:H30"/>
  <sheetViews>
    <sheetView workbookViewId="0">
      <selection activeCell="A2" sqref="A2"/>
    </sheetView>
  </sheetViews>
  <sheetFormatPr defaultRowHeight="15" x14ac:dyDescent="0.25"/>
  <cols>
    <col min="1" max="1" width="19.140625" customWidth="1"/>
    <col min="4" max="4" width="61.5703125" customWidth="1"/>
    <col min="7" max="7" width="10.85546875" bestFit="1" customWidth="1"/>
    <col min="8" max="8" width="47.85546875" style="7" customWidth="1"/>
  </cols>
  <sheetData>
    <row r="1" spans="1:7" x14ac:dyDescent="0.25">
      <c r="A1" t="s">
        <v>69</v>
      </c>
      <c r="D1" t="s">
        <v>70</v>
      </c>
      <c r="G1" t="s">
        <v>73</v>
      </c>
    </row>
    <row r="2" spans="1:7" x14ac:dyDescent="0.25">
      <c r="A2" t="s">
        <v>68</v>
      </c>
      <c r="D2" t="s">
        <v>4</v>
      </c>
      <c r="G2" t="s">
        <v>74</v>
      </c>
    </row>
    <row r="3" spans="1:7" x14ac:dyDescent="0.25">
      <c r="A3" t="s">
        <v>89</v>
      </c>
      <c r="D3" t="s">
        <v>5</v>
      </c>
      <c r="G3" t="s">
        <v>75</v>
      </c>
    </row>
    <row r="4" spans="1:7" x14ac:dyDescent="0.25">
      <c r="A4" t="s">
        <v>90</v>
      </c>
      <c r="D4" t="s">
        <v>6</v>
      </c>
      <c r="G4" t="s">
        <v>76</v>
      </c>
    </row>
    <row r="5" spans="1:7" x14ac:dyDescent="0.25">
      <c r="D5" t="s">
        <v>8</v>
      </c>
    </row>
    <row r="6" spans="1:7" x14ac:dyDescent="0.25">
      <c r="D6" s="7" t="s">
        <v>9</v>
      </c>
    </row>
    <row r="7" spans="1:7" x14ac:dyDescent="0.25">
      <c r="D7" t="s">
        <v>10</v>
      </c>
    </row>
    <row r="8" spans="1:7" x14ac:dyDescent="0.25">
      <c r="D8" t="s">
        <v>12</v>
      </c>
    </row>
    <row r="9" spans="1:7" x14ac:dyDescent="0.25">
      <c r="D9" t="s">
        <v>13</v>
      </c>
    </row>
    <row r="10" spans="1:7" x14ac:dyDescent="0.25">
      <c r="D10" t="s">
        <v>14</v>
      </c>
    </row>
    <row r="11" spans="1:7" x14ac:dyDescent="0.25">
      <c r="D11" t="s">
        <v>40</v>
      </c>
    </row>
    <row r="12" spans="1:7" x14ac:dyDescent="0.25">
      <c r="D12" t="s">
        <v>15</v>
      </c>
    </row>
    <row r="13" spans="1:7" x14ac:dyDescent="0.25">
      <c r="D13" t="s">
        <v>16</v>
      </c>
    </row>
    <row r="14" spans="1:7" x14ac:dyDescent="0.25">
      <c r="D14" t="s">
        <v>17</v>
      </c>
    </row>
    <row r="15" spans="1:7" x14ac:dyDescent="0.25">
      <c r="D15" t="s">
        <v>18</v>
      </c>
    </row>
    <row r="16" spans="1:7" x14ac:dyDescent="0.25">
      <c r="D16" t="s">
        <v>19</v>
      </c>
    </row>
    <row r="17" spans="4:4" x14ac:dyDescent="0.25">
      <c r="D17" t="s">
        <v>21</v>
      </c>
    </row>
    <row r="18" spans="4:4" x14ac:dyDescent="0.25">
      <c r="D18" t="s">
        <v>22</v>
      </c>
    </row>
    <row r="19" spans="4:4" x14ac:dyDescent="0.25">
      <c r="D19" t="s">
        <v>23</v>
      </c>
    </row>
    <row r="20" spans="4:4" x14ac:dyDescent="0.25">
      <c r="D20" t="s">
        <v>24</v>
      </c>
    </row>
    <row r="21" spans="4:4" x14ac:dyDescent="0.25">
      <c r="D21" t="s">
        <v>25</v>
      </c>
    </row>
    <row r="22" spans="4:4" x14ac:dyDescent="0.25">
      <c r="D22" t="s">
        <v>27</v>
      </c>
    </row>
    <row r="23" spans="4:4" x14ac:dyDescent="0.25">
      <c r="D23" t="s">
        <v>28</v>
      </c>
    </row>
    <row r="24" spans="4:4" x14ac:dyDescent="0.25">
      <c r="D24" t="s">
        <v>29</v>
      </c>
    </row>
    <row r="25" spans="4:4" x14ac:dyDescent="0.25">
      <c r="D25" t="s">
        <v>30</v>
      </c>
    </row>
    <row r="26" spans="4:4" x14ac:dyDescent="0.25">
      <c r="D26" t="s">
        <v>31</v>
      </c>
    </row>
    <row r="27" spans="4:4" ht="30" x14ac:dyDescent="0.25">
      <c r="D27" s="4" t="s">
        <v>32</v>
      </c>
    </row>
    <row r="28" spans="4:4" ht="30" x14ac:dyDescent="0.25">
      <c r="D28" s="4" t="s">
        <v>34</v>
      </c>
    </row>
    <row r="29" spans="4:4" x14ac:dyDescent="0.25">
      <c r="D29" t="s">
        <v>36</v>
      </c>
    </row>
    <row r="30" spans="4:4" x14ac:dyDescent="0.25">
      <c r="D30" t="s">
        <v>52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CA6A-CA2B-48A9-88C3-D485998217C5}">
  <sheetPr codeName="Sheet5"/>
  <dimension ref="A1:F5"/>
  <sheetViews>
    <sheetView workbookViewId="0">
      <selection sqref="A1:B4"/>
    </sheetView>
  </sheetViews>
  <sheetFormatPr defaultRowHeight="15" x14ac:dyDescent="0.25"/>
  <cols>
    <col min="1" max="1" width="19.140625" customWidth="1"/>
    <col min="2" max="2" width="17.5703125" customWidth="1"/>
    <col min="5" max="5" width="22.140625" customWidth="1"/>
    <col min="6" max="6" width="12.42578125" customWidth="1"/>
  </cols>
  <sheetData>
    <row r="1" spans="1:6" x14ac:dyDescent="0.25">
      <c r="A1" s="5" t="s">
        <v>53</v>
      </c>
      <c r="B1" s="5" t="s">
        <v>53</v>
      </c>
      <c r="C1" t="s">
        <v>54</v>
      </c>
      <c r="D1" t="s">
        <v>55</v>
      </c>
      <c r="E1" t="s">
        <v>56</v>
      </c>
      <c r="F1" t="s">
        <v>57</v>
      </c>
    </row>
    <row r="2" spans="1:6" x14ac:dyDescent="0.25">
      <c r="A2" s="5" t="s">
        <v>58</v>
      </c>
      <c r="B2" s="5" t="s">
        <v>58</v>
      </c>
      <c r="C2" t="s">
        <v>59</v>
      </c>
      <c r="E2" t="s">
        <v>60</v>
      </c>
    </row>
    <row r="3" spans="1:6" x14ac:dyDescent="0.25">
      <c r="A3" s="5" t="s">
        <v>61</v>
      </c>
      <c r="B3" s="5" t="s">
        <v>61</v>
      </c>
      <c r="C3" t="s">
        <v>59</v>
      </c>
      <c r="E3" t="s">
        <v>62</v>
      </c>
    </row>
    <row r="4" spans="1:6" x14ac:dyDescent="0.25">
      <c r="A4" s="5" t="s">
        <v>63</v>
      </c>
      <c r="B4" s="5" t="s">
        <v>63</v>
      </c>
      <c r="C4" t="s">
        <v>64</v>
      </c>
      <c r="E4" t="s">
        <v>51</v>
      </c>
    </row>
    <row r="5" spans="1:6" x14ac:dyDescent="0.25">
      <c r="A5" s="5" t="s">
        <v>65</v>
      </c>
      <c r="B5" s="5" t="s">
        <v>65</v>
      </c>
      <c r="C5" t="s">
        <v>64</v>
      </c>
      <c r="E5" t="s">
        <v>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2e38ad-9e2b-49d8-ad64-ff277263e1ae">
      <Terms xmlns="http://schemas.microsoft.com/office/infopath/2007/PartnerControls"/>
    </lcf76f155ced4ddcb4097134ff3c332f>
    <TaxCatchAll xmlns="773728f4-5d47-49b9-9b09-f0b91e396033" xsi:nil="true"/>
    <_dlc_DocId xmlns="773728f4-5d47-49b9-9b09-f0b91e396033">ESUTZU7EPSF2-1085811978-4342</_dlc_DocId>
    <_dlc_DocIdUrl xmlns="773728f4-5d47-49b9-9b09-f0b91e396033">
      <Url>https://simbacorp.sharepoint.com/simbacolt/powerbi/_layouts/15/DocIdRedir.aspx?ID=ESUTZU7EPSF2-1085811978-4342</Url>
      <Description>ESUTZU7EPSF2-1085811978-4342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8DA9535D510E43A10EA5B528498B15" ma:contentTypeVersion="17" ma:contentTypeDescription="Create a new document." ma:contentTypeScope="" ma:versionID="8bab12193e6a31d997ef12dd428a570a">
  <xsd:schema xmlns:xsd="http://www.w3.org/2001/XMLSchema" xmlns:xs="http://www.w3.org/2001/XMLSchema" xmlns:p="http://schemas.microsoft.com/office/2006/metadata/properties" xmlns:ns2="773728f4-5d47-49b9-9b09-f0b91e396033" xmlns:ns3="922e38ad-9e2b-49d8-ad64-ff277263e1ae" targetNamespace="http://schemas.microsoft.com/office/2006/metadata/properties" ma:root="true" ma:fieldsID="af232a0f8e23dc8712371acd766bee5e" ns2:_="" ns3:_="">
    <xsd:import namespace="773728f4-5d47-49b9-9b09-f0b91e396033"/>
    <xsd:import namespace="922e38ad-9e2b-49d8-ad64-ff277263e1a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2:SharedWithUsers" minOccurs="0"/>
                <xsd:element ref="ns2:SharedWithDetail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3728f4-5d47-49b9-9b09-f0b91e39603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7cef3ce8-b01a-45fd-89ac-4ecb351704ad}" ma:internalName="TaxCatchAll" ma:showField="CatchAllData" ma:web="773728f4-5d47-49b9-9b09-f0b91e3960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2e38ad-9e2b-49d8-ad64-ff277263e1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e12ff491-f9c0-42fe-923e-45be516105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4E8E4E9-662A-4E96-95A6-38DBCA4072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652C4B-0792-4868-9CFE-96AFF69E5668}">
  <ds:schemaRefs>
    <ds:schemaRef ds:uri="http://schemas.microsoft.com/office/2006/metadata/properties"/>
    <ds:schemaRef ds:uri="http://schemas.microsoft.com/office/infopath/2007/PartnerControls"/>
    <ds:schemaRef ds:uri="922e38ad-9e2b-49d8-ad64-ff277263e1ae"/>
    <ds:schemaRef ds:uri="773728f4-5d47-49b9-9b09-f0b91e396033"/>
  </ds:schemaRefs>
</ds:datastoreItem>
</file>

<file path=customXml/itemProps3.xml><?xml version="1.0" encoding="utf-8"?>
<ds:datastoreItem xmlns:ds="http://schemas.openxmlformats.org/officeDocument/2006/customXml" ds:itemID="{4209D4EF-926C-4E77-A94A-50434EF5BC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3728f4-5d47-49b9-9b09-f0b91e396033"/>
    <ds:schemaRef ds:uri="922e38ad-9e2b-49d8-ad64-ff277263e1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27D978-177E-46A5-AD68-0374190E1B0A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357faac2-270d-471f-8286-24e53fcd7d6b}" enabled="0" method="" siteId="{357faac2-270d-471f-8286-24e53fcd7d6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INTERFACE</vt:lpstr>
      <vt:lpstr>To Do</vt:lpstr>
      <vt:lpstr>Completed</vt:lpstr>
      <vt:lpstr>Lists</vt:lpstr>
      <vt:lpstr>Sheet3</vt:lpstr>
      <vt:lpstr>PROJECT</vt:lpstr>
      <vt:lpstr>Responsible_Person</vt:lpstr>
      <vt:lpstr>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Anthony Mutembei</dc:creator>
  <cp:keywords/>
  <dc:description/>
  <cp:lastModifiedBy>Ivy Karanja</cp:lastModifiedBy>
  <cp:revision/>
  <dcterms:created xsi:type="dcterms:W3CDTF">2023-06-29T12:37:44Z</dcterms:created>
  <dcterms:modified xsi:type="dcterms:W3CDTF">2025-11-21T08:52:33Z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0x010100318DA9535D510E43A10EA5B528498B15</vt:lpwstr>
  </property>
  <property fmtid="{D5CDD505-2E9C-101B-9397-08002B2CF9AE}" pid="3" name="_dlc_DocIdItemGuid">
    <vt:lpwstr>7b6c58f7-9259-45b9-a864-a44a105d34b9</vt:lpwstr>
  </property>
  <property fmtid="{D5CDD505-2E9C-101B-9397-08002B2CF9AE}" pid="4" name="MediaServiceImageTags">
    <vt:lpwstr/>
  </property>
</Properties>
</file>